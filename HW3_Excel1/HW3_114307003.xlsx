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686E77D-8E8D-41EC-BDE3-FB3A2FD871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1" l="1"/>
  <c r="D17" i="1"/>
  <c r="C17" i="1"/>
  <c r="J15" i="1"/>
  <c r="K15" i="1" s="1" a="1"/>
  <c r="K15" i="1" s="1"/>
  <c r="H15" i="1"/>
  <c r="H14" i="1"/>
  <c r="J14" i="1" s="1"/>
  <c r="H13" i="1"/>
  <c r="J13" i="1" s="1"/>
  <c r="H12" i="1"/>
  <c r="J12" i="1" s="1"/>
  <c r="J11" i="1"/>
  <c r="L11" i="1" s="1"/>
  <c r="H11" i="1"/>
  <c r="H10" i="1"/>
  <c r="J10" i="1" s="1"/>
  <c r="H9" i="1"/>
  <c r="J9" i="1" s="1"/>
  <c r="H8" i="1"/>
  <c r="J8" i="1" s="1"/>
  <c r="J7" i="1"/>
  <c r="L7" i="1" s="1"/>
  <c r="H7" i="1"/>
  <c r="H6" i="1"/>
  <c r="J6" i="1" s="1"/>
  <c r="H5" i="1"/>
  <c r="J5" i="1" s="1"/>
  <c r="H4" i="1"/>
  <c r="J4" i="1" s="1"/>
  <c r="J3" i="1"/>
  <c r="L3" i="1" s="1"/>
  <c r="H3" i="1"/>
  <c r="H2" i="1"/>
  <c r="J2" i="1" s="1"/>
  <c r="L9" i="1" l="1"/>
  <c r="K9" i="1" a="1"/>
  <c r="K9" i="1" s="1"/>
  <c r="L5" i="1"/>
  <c r="K5" i="1" a="1"/>
  <c r="K5" i="1" s="1"/>
  <c r="L14" i="1"/>
  <c r="K14" i="1" a="1"/>
  <c r="K14" i="1" s="1"/>
  <c r="L4" i="1"/>
  <c r="K4" i="1" a="1"/>
  <c r="K4" i="1" s="1"/>
  <c r="L6" i="1"/>
  <c r="K6" i="1" a="1"/>
  <c r="K6" i="1" s="1"/>
  <c r="L8" i="1"/>
  <c r="K8" i="1" a="1"/>
  <c r="K8" i="1" s="1"/>
  <c r="L10" i="1"/>
  <c r="K10" i="1" a="1"/>
  <c r="K10" i="1" s="1"/>
  <c r="L12" i="1"/>
  <c r="K12" i="1" a="1"/>
  <c r="K12" i="1" s="1"/>
  <c r="L13" i="1"/>
  <c r="K13" i="1" a="1"/>
  <c r="K13" i="1" s="1"/>
  <c r="J17" i="1"/>
  <c r="L2" i="1"/>
  <c r="K2" i="1" a="1"/>
  <c r="K2" i="1" s="1"/>
  <c r="K7" i="1" a="1"/>
  <c r="K7" i="1" s="1"/>
  <c r="K3" i="1" a="1"/>
  <c r="K3" i="1" s="1"/>
  <c r="L15" i="1"/>
  <c r="K11" i="1" a="1"/>
  <c r="K11" i="1" s="1"/>
</calcChain>
</file>

<file path=xl/sharedStrings.xml><?xml version="1.0" encoding="utf-8"?>
<sst xmlns="http://schemas.openxmlformats.org/spreadsheetml/2006/main" count="34" uniqueCount="34">
  <si>
    <t>number</t>
  </si>
  <si>
    <t>name</t>
  </si>
  <si>
    <t>Exam1</t>
  </si>
  <si>
    <t>Exam2</t>
  </si>
  <si>
    <t>Exam3</t>
  </si>
  <si>
    <t>Exam4</t>
  </si>
  <si>
    <t>Exam5</t>
  </si>
  <si>
    <t>Q1: Exam_Average</t>
  </si>
  <si>
    <t>Midterm</t>
  </si>
  <si>
    <t>Q2: overall score</t>
  </si>
  <si>
    <t>Q3</t>
  </si>
  <si>
    <t>Q4</t>
  </si>
  <si>
    <t>王小明</t>
  </si>
  <si>
    <t>陳小奇</t>
  </si>
  <si>
    <t>陳慢慢</t>
  </si>
  <si>
    <t>何大美</t>
  </si>
  <si>
    <t>羅小花</t>
  </si>
  <si>
    <t>李大仁</t>
  </si>
  <si>
    <t>李小君</t>
  </si>
  <si>
    <t>李大月</t>
  </si>
  <si>
    <t>李大輝</t>
  </si>
  <si>
    <t>黃阿坤</t>
  </si>
  <si>
    <t>宋小倫</t>
  </si>
  <si>
    <t>林大義</t>
  </si>
  <si>
    <t>白阿國</t>
  </si>
  <si>
    <t>許亮亮</t>
  </si>
  <si>
    <r>
      <t xml:space="preserve">Q6 answer </t>
    </r>
    <r>
      <rPr>
        <sz val="12"/>
        <color rgb="FF000000"/>
        <rFont val="Wingdings"/>
        <charset val="2"/>
      </rPr>
      <t>ò</t>
    </r>
  </si>
  <si>
    <r>
      <t xml:space="preserve">Q7 answer </t>
    </r>
    <r>
      <rPr>
        <sz val="12"/>
        <color rgb="FF000000"/>
        <rFont val="Wingdings"/>
        <charset val="2"/>
      </rPr>
      <t>ò</t>
    </r>
  </si>
  <si>
    <r>
      <t xml:space="preserve">Q8 answer </t>
    </r>
    <r>
      <rPr>
        <sz val="12"/>
        <color rgb="FF000000"/>
        <rFont val="Wingdings"/>
        <charset val="2"/>
      </rPr>
      <t>ò</t>
    </r>
  </si>
  <si>
    <r>
      <t xml:space="preserve">Q5 answer </t>
    </r>
    <r>
      <rPr>
        <sz val="12"/>
        <color rgb="FF000000"/>
        <rFont val="Wingdings"/>
        <charset val="2"/>
      </rPr>
      <t>ò</t>
    </r>
  </si>
  <si>
    <r>
      <t xml:space="preserve">Q10 answer </t>
    </r>
    <r>
      <rPr>
        <sz val="12"/>
        <color rgb="FF000000"/>
        <rFont val="Wingdings"/>
        <charset val="2"/>
      </rPr>
      <t>ò</t>
    </r>
  </si>
  <si>
    <t>pass</t>
  </si>
  <si>
    <t>fail</t>
  </si>
  <si>
    <r>
      <t xml:space="preserve">Q9 answer </t>
    </r>
    <r>
      <rPr>
        <sz val="12"/>
        <color rgb="FF000000"/>
        <rFont val="Wingdings"/>
        <charset val="2"/>
      </rPr>
      <t>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</si>
</sst>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2"/>
      <color rgb="FF006100"/>
      <name val="新細明體"/>
      <family val="1"/>
      <charset val="136"/>
    </font>
    <font>
      <sz val="12"/>
      <color rgb="FF000000"/>
      <name val="PMingLiu"/>
      <family val="1"/>
    </font>
    <font>
      <sz val="12"/>
      <color rgb="FF000000"/>
      <name val="Wingdings"/>
      <charset val="2"/>
    </font>
    <font>
      <sz val="9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0" applyNumberFormat="0" applyFon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>
      <alignment vertical="center"/>
    </xf>
  </cellXfs>
  <cellStyles count="3">
    <cellStyle name="cf1" xfId="1" xr:uid="{00000000-0005-0000-0000-000000000000}"/>
    <cellStyle name="cf2" xfId="2" xr:uid="{00000000-0005-0000-0000-000001000000}"/>
    <cellStyle name="一般" xfId="0" builtinId="0" customBuiltin="1"/>
  </cellStyles>
  <dxfs count="2">
    <dxf>
      <font>
        <color rgb="FF006100"/>
        <family val="1"/>
        <charset val="136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Arial Black"/>
                <a:ea typeface="Arial Black"/>
                <a:cs typeface="Arial Black"/>
              </a:defRPr>
            </a:pPr>
            <a:r>
              <a:rPr lang="en-US" sz="1400" b="0" i="0" u="none" strike="noStrike" kern="1200" cap="none" spc="0" baseline="0">
                <a:solidFill>
                  <a:srgbClr val="595959"/>
                </a:solidFill>
                <a:uFillTx/>
                <a:latin typeface="Arial Black"/>
                <a:ea typeface="Arial Black"/>
                <a:cs typeface="Arial Black"/>
              </a:rPr>
              <a:t>students' overall scores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</c:spPr>
          <c:invertIfNegative val="0"/>
          <c:val>
            <c:numRef>
              <c:f>工作表1!$J$2:$J$15</c:f>
              <c:numCache>
                <c:formatCode>General</c:formatCode>
                <c:ptCount val="14"/>
                <c:pt idx="0">
                  <c:v>77.599999999999994</c:v>
                </c:pt>
                <c:pt idx="1">
                  <c:v>84.7</c:v>
                </c:pt>
                <c:pt idx="2">
                  <c:v>90</c:v>
                </c:pt>
                <c:pt idx="3">
                  <c:v>91.7</c:v>
                </c:pt>
                <c:pt idx="4">
                  <c:v>80.800000000000011</c:v>
                </c:pt>
                <c:pt idx="5">
                  <c:v>80.8</c:v>
                </c:pt>
                <c:pt idx="6">
                  <c:v>77.900000000000006</c:v>
                </c:pt>
                <c:pt idx="7">
                  <c:v>80.599999999999994</c:v>
                </c:pt>
                <c:pt idx="8">
                  <c:v>74.2</c:v>
                </c:pt>
                <c:pt idx="9">
                  <c:v>81.2</c:v>
                </c:pt>
                <c:pt idx="10">
                  <c:v>66.900000000000006</c:v>
                </c:pt>
                <c:pt idx="11">
                  <c:v>59</c:v>
                </c:pt>
                <c:pt idx="12">
                  <c:v>75.2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2-47A1-A789-CFFF4C7B8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8"/>
        <c:overlap val="-27"/>
        <c:axId val="951372223"/>
        <c:axId val="951365567"/>
      </c:barChart>
      <c:valAx>
        <c:axId val="951365567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 Black"/>
                <a:ea typeface="Arial Black"/>
                <a:cs typeface="Arial Black"/>
              </a:defRPr>
            </a:pPr>
            <a:endParaRPr lang="zh-TW"/>
          </a:p>
        </c:txPr>
        <c:crossAx val="951372223"/>
        <c:crosses val="autoZero"/>
        <c:crossBetween val="between"/>
      </c:valAx>
      <c:catAx>
        <c:axId val="951372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 Black"/>
                <a:ea typeface="Arial Black"/>
                <a:cs typeface="Arial Black"/>
              </a:defRPr>
            </a:pPr>
            <a:endParaRPr lang="zh-TW"/>
          </a:p>
        </c:txPr>
        <c:crossAx val="951365567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  <a:ea typeface="新細明體" pitchFamily="18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Calibri"/>
              </a:defRPr>
            </a:pPr>
            <a:r>
              <a:rPr lang="en-US" sz="1400" b="0" i="0" u="none" strike="noStrike" kern="1200" cap="none" spc="0" baseline="0">
                <a:solidFill>
                  <a:srgbClr val="595959"/>
                </a:solidFill>
                <a:uFillTx/>
                <a:latin typeface="Calibri"/>
              </a:rPr>
              <a:t>"pass" and "fail" grades of the students' overall score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46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9A63-4509-8B17-47F122367141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46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A63-4509-8B17-47F1223671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400" b="0" i="0" u="none" strike="noStrike" kern="1200" baseline="0">
                    <a:solidFill>
                      <a:srgbClr val="404040"/>
                    </a:solidFill>
                    <a:latin typeface="Arial Black"/>
                    <a:ea typeface="Arial Black"/>
                    <a:cs typeface="Arial Black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工作表1!$L$17:$L$18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工作表1!$M$17:$M$18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97-44D6-8E7E-CE85C0D42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900" b="0" i="0" u="none" strike="noStrike" kern="1200" baseline="0">
          <a:solidFill>
            <a:srgbClr val="000000"/>
          </a:solidFill>
          <a:latin typeface="Calibri"/>
          <a:ea typeface="新細明體" pitchFamily="18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885825</xdr:colOff>
      <xdr:row>25</xdr:row>
      <xdr:rowOff>38103</xdr:rowOff>
    </xdr:from>
    <xdr:ext cx="3724278" cy="2743200"/>
    <xdr:graphicFrame macro="">
      <xdr:nvGraphicFramePr>
        <xdr:cNvPr id="3" name="圖表 12">
          <a:extLst>
            <a:ext uri="{FF2B5EF4-FFF2-40B4-BE49-F238E27FC236}">
              <a16:creationId xmlns:a16="http://schemas.microsoft.com/office/drawing/2014/main" id="{39DC8A77-A67D-41F3-A92D-838DCB0A3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66678</xdr:colOff>
      <xdr:row>18</xdr:row>
      <xdr:rowOff>66678</xdr:rowOff>
    </xdr:from>
    <xdr:ext cx="4371975" cy="2533646"/>
    <xdr:graphicFrame macro="">
      <xdr:nvGraphicFramePr>
        <xdr:cNvPr id="2" name="圖表 25">
          <a:extLst>
            <a:ext uri="{FF2B5EF4-FFF2-40B4-BE49-F238E27FC236}">
              <a16:creationId xmlns:a16="http://schemas.microsoft.com/office/drawing/2014/main" id="{E2EC14AF-07D7-43E8-94E4-07DFBD275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K4" sqref="K4"/>
    </sheetView>
  </sheetViews>
  <sheetFormatPr defaultRowHeight="16.5"/>
  <cols>
    <col min="1" max="2" width="9" customWidth="1"/>
    <col min="3" max="3" width="15.125" bestFit="1" customWidth="1"/>
    <col min="4" max="4" width="13" bestFit="1" customWidth="1"/>
    <col min="5" max="7" width="9" customWidth="1"/>
    <col min="8" max="8" width="24.25" bestFit="1" customWidth="1"/>
    <col min="9" max="9" width="9" customWidth="1"/>
    <col min="10" max="10" width="16.125" bestFit="1" customWidth="1"/>
    <col min="11" max="11" width="11.125" customWidth="1"/>
    <col min="12" max="12" width="23" customWidth="1"/>
    <col min="13" max="13" width="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1</v>
      </c>
      <c r="B2" s="1" t="s">
        <v>12</v>
      </c>
      <c r="C2" s="1">
        <v>65</v>
      </c>
      <c r="D2" s="1">
        <v>54</v>
      </c>
      <c r="E2" s="1">
        <v>88</v>
      </c>
      <c r="F2" s="1">
        <v>92</v>
      </c>
      <c r="G2" s="1">
        <v>67</v>
      </c>
      <c r="H2" s="1">
        <f t="shared" ref="H2:H15" si="0">AVERAGE(C2:G2)</f>
        <v>73.2</v>
      </c>
      <c r="I2" s="1">
        <v>82</v>
      </c>
      <c r="J2" s="3">
        <f t="shared" ref="J2:J15" si="1">SUM(H2*0.1*5+I2*0.5)</f>
        <v>77.599999999999994</v>
      </c>
      <c r="K2" s="4" t="str">
        <f t="array" ref="K2">_xlfn.IFS(J2&gt;=90,"A",J2&gt;=80,"B",J2&gt;=70,"C",J2&gt;=60,"D",J2&gt;=0,"F")</f>
        <v>C</v>
      </c>
      <c r="L2" s="3" t="str">
        <f t="shared" ref="L2:L15" si="2">IF(J2&gt;=60,"pass","fail")</f>
        <v>pass</v>
      </c>
    </row>
    <row r="3" spans="1:12">
      <c r="A3" s="1">
        <v>2</v>
      </c>
      <c r="B3" s="1" t="s">
        <v>13</v>
      </c>
      <c r="C3" s="1">
        <v>78</v>
      </c>
      <c r="D3" s="1">
        <v>89</v>
      </c>
      <c r="E3" s="1">
        <v>90</v>
      </c>
      <c r="F3" s="1">
        <v>77</v>
      </c>
      <c r="G3" s="1">
        <v>73</v>
      </c>
      <c r="H3" s="1">
        <f t="shared" si="0"/>
        <v>81.400000000000006</v>
      </c>
      <c r="I3" s="1">
        <v>88</v>
      </c>
      <c r="J3" s="3">
        <f t="shared" si="1"/>
        <v>84.7</v>
      </c>
      <c r="K3" s="4" t="str">
        <f t="array" ref="K3">_xlfn.IFS(J3&gt;=90,"A",J3&gt;=80,"B",J3&gt;=70,"C",J3&gt;=60,"D",J3&gt;=0,"F")</f>
        <v>B</v>
      </c>
      <c r="L3" s="3" t="str">
        <f t="shared" si="2"/>
        <v>pass</v>
      </c>
    </row>
    <row r="4" spans="1:12">
      <c r="A4" s="1">
        <v>3</v>
      </c>
      <c r="B4" s="1" t="s">
        <v>14</v>
      </c>
      <c r="C4" s="1">
        <v>88</v>
      </c>
      <c r="D4" s="1">
        <v>96</v>
      </c>
      <c r="E4" s="1">
        <v>79</v>
      </c>
      <c r="F4" s="1">
        <v>82</v>
      </c>
      <c r="G4" s="1">
        <v>85</v>
      </c>
      <c r="H4" s="1">
        <f t="shared" si="0"/>
        <v>86</v>
      </c>
      <c r="I4" s="1">
        <v>94</v>
      </c>
      <c r="J4" s="3">
        <f t="shared" si="1"/>
        <v>90</v>
      </c>
      <c r="K4" s="4" t="str">
        <f t="array" ref="K4">_xlfn.IFS(J4&gt;=90,"A",J4&gt;=80,"B",J4&gt;=70,"C",J4&gt;=60,"D",J4&gt;=0,"F")</f>
        <v>A</v>
      </c>
      <c r="L4" s="3" t="str">
        <f t="shared" si="2"/>
        <v>pass</v>
      </c>
    </row>
    <row r="5" spans="1:12">
      <c r="A5" s="1">
        <v>4</v>
      </c>
      <c r="B5" s="1" t="s">
        <v>15</v>
      </c>
      <c r="C5" s="1">
        <v>98</v>
      </c>
      <c r="D5" s="1">
        <v>90</v>
      </c>
      <c r="E5" s="1">
        <v>95</v>
      </c>
      <c r="F5" s="1">
        <v>94</v>
      </c>
      <c r="G5" s="1">
        <v>95</v>
      </c>
      <c r="H5" s="1">
        <f t="shared" si="0"/>
        <v>94.4</v>
      </c>
      <c r="I5" s="1">
        <v>89</v>
      </c>
      <c r="J5" s="3">
        <f t="shared" si="1"/>
        <v>91.7</v>
      </c>
      <c r="K5" s="4" t="str">
        <f t="array" ref="K5">_xlfn.IFS(J5&gt;=90,"A",J5&gt;=80,"B",J5&gt;=70,"C",J5&gt;=60,"D",J5&gt;=0,"F")</f>
        <v>A</v>
      </c>
      <c r="L5" s="3" t="str">
        <f t="shared" si="2"/>
        <v>pass</v>
      </c>
    </row>
    <row r="6" spans="1:12">
      <c r="A6" s="1">
        <v>5</v>
      </c>
      <c r="B6" s="1" t="s">
        <v>16</v>
      </c>
      <c r="C6" s="1">
        <v>87</v>
      </c>
      <c r="D6" s="1">
        <v>76</v>
      </c>
      <c r="E6" s="1">
        <v>78</v>
      </c>
      <c r="F6" s="1">
        <v>82</v>
      </c>
      <c r="G6" s="1">
        <v>80</v>
      </c>
      <c r="H6" s="1">
        <f t="shared" si="0"/>
        <v>80.599999999999994</v>
      </c>
      <c r="I6" s="1">
        <v>81</v>
      </c>
      <c r="J6" s="3">
        <f t="shared" si="1"/>
        <v>80.800000000000011</v>
      </c>
      <c r="K6" s="4" t="str">
        <f t="array" ref="K6">_xlfn.IFS(J6&gt;=90,"A",J6&gt;=80,"B",J6&gt;=70,"C",J6&gt;=60,"D",J6&gt;=0,"F")</f>
        <v>B</v>
      </c>
      <c r="L6" s="3" t="str">
        <f t="shared" si="2"/>
        <v>pass</v>
      </c>
    </row>
    <row r="7" spans="1:12">
      <c r="A7" s="1">
        <v>6</v>
      </c>
      <c r="B7" s="1" t="s">
        <v>17</v>
      </c>
      <c r="C7" s="1">
        <v>67</v>
      </c>
      <c r="D7" s="1">
        <v>79</v>
      </c>
      <c r="E7" s="1">
        <v>82</v>
      </c>
      <c r="F7" s="1">
        <v>85</v>
      </c>
      <c r="G7" s="1">
        <v>95</v>
      </c>
      <c r="H7" s="1">
        <f t="shared" si="0"/>
        <v>81.599999999999994</v>
      </c>
      <c r="I7" s="1">
        <v>80</v>
      </c>
      <c r="J7" s="3">
        <f t="shared" si="1"/>
        <v>80.8</v>
      </c>
      <c r="K7" s="4" t="str">
        <f t="array" ref="K7">_xlfn.IFS(J7&gt;=90,"A",J7&gt;=80,"B",J7&gt;=70,"C",J7&gt;=60,"D",J7&gt;=0,"F")</f>
        <v>B</v>
      </c>
      <c r="L7" s="3" t="str">
        <f t="shared" si="2"/>
        <v>pass</v>
      </c>
    </row>
    <row r="8" spans="1:12">
      <c r="A8" s="1">
        <v>7</v>
      </c>
      <c r="B8" s="1" t="s">
        <v>18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 s="3">
        <f t="shared" si="1"/>
        <v>77.900000000000006</v>
      </c>
      <c r="K8" s="4" t="str">
        <f t="array" ref="K8">_xlfn.IFS(J8&gt;=90,"A",J8&gt;=80,"B",J8&gt;=70,"C",J8&gt;=60,"D",J8&gt;=0,"F")</f>
        <v>C</v>
      </c>
      <c r="L8" s="3" t="str">
        <f t="shared" si="2"/>
        <v>pass</v>
      </c>
    </row>
    <row r="9" spans="1:12">
      <c r="A9" s="1">
        <v>8</v>
      </c>
      <c r="B9" s="1" t="s">
        <v>19</v>
      </c>
      <c r="C9" s="1">
        <v>72</v>
      </c>
      <c r="D9" s="1">
        <v>83</v>
      </c>
      <c r="E9" s="1">
        <v>62</v>
      </c>
      <c r="F9" s="1">
        <v>67</v>
      </c>
      <c r="G9" s="1">
        <v>82</v>
      </c>
      <c r="H9" s="1">
        <f t="shared" si="0"/>
        <v>73.2</v>
      </c>
      <c r="I9" s="1">
        <v>88</v>
      </c>
      <c r="J9" s="3">
        <f t="shared" si="1"/>
        <v>80.599999999999994</v>
      </c>
      <c r="K9" s="4" t="str">
        <f t="array" ref="K9">_xlfn.IFS(J9&gt;=90,"A",J9&gt;=80,"B",J9&gt;=70,"C",J9&gt;=60,"D",J9&gt;=0,"F")</f>
        <v>B</v>
      </c>
      <c r="L9" s="3" t="str">
        <f t="shared" si="2"/>
        <v>pass</v>
      </c>
    </row>
    <row r="10" spans="1:12">
      <c r="A10" s="1">
        <v>9</v>
      </c>
      <c r="B10" s="1" t="s">
        <v>20</v>
      </c>
      <c r="C10" s="1">
        <v>86</v>
      </c>
      <c r="D10" s="1">
        <v>92</v>
      </c>
      <c r="E10" s="1">
        <v>79</v>
      </c>
      <c r="F10" s="1">
        <v>73</v>
      </c>
      <c r="G10" s="1">
        <v>47</v>
      </c>
      <c r="H10" s="1">
        <f t="shared" si="0"/>
        <v>75.400000000000006</v>
      </c>
      <c r="I10" s="1">
        <v>73</v>
      </c>
      <c r="J10" s="3">
        <f t="shared" si="1"/>
        <v>74.2</v>
      </c>
      <c r="K10" s="4" t="str">
        <f t="array" ref="K10">_xlfn.IFS(J10&gt;=90,"A",J10&gt;=80,"B",J10&gt;=70,"C",J10&gt;=60,"D",J10&gt;=0,"F")</f>
        <v>C</v>
      </c>
      <c r="L10" s="3" t="str">
        <f t="shared" si="2"/>
        <v>pass</v>
      </c>
    </row>
    <row r="11" spans="1:12">
      <c r="A11" s="1">
        <v>10</v>
      </c>
      <c r="B11" s="1" t="s">
        <v>21</v>
      </c>
      <c r="C11" s="1">
        <v>90</v>
      </c>
      <c r="D11" s="1">
        <v>64</v>
      </c>
      <c r="E11" s="1">
        <v>91</v>
      </c>
      <c r="F11" s="1">
        <v>82</v>
      </c>
      <c r="G11" s="1">
        <v>85</v>
      </c>
      <c r="H11" s="1">
        <f t="shared" si="0"/>
        <v>82.4</v>
      </c>
      <c r="I11" s="1">
        <v>80</v>
      </c>
      <c r="J11" s="3">
        <f t="shared" si="1"/>
        <v>81.2</v>
      </c>
      <c r="K11" s="4" t="str">
        <f t="array" ref="K11">_xlfn.IFS(J11&gt;=90,"A",J11&gt;=80,"B",J11&gt;=70,"C",J11&gt;=60,"D",J11&gt;=0,"F")</f>
        <v>B</v>
      </c>
      <c r="L11" s="3" t="str">
        <f t="shared" si="2"/>
        <v>pass</v>
      </c>
    </row>
    <row r="12" spans="1:12">
      <c r="A12" s="1">
        <v>11</v>
      </c>
      <c r="B12" s="1" t="s">
        <v>22</v>
      </c>
      <c r="C12" s="1">
        <v>81</v>
      </c>
      <c r="D12" s="1">
        <v>55</v>
      </c>
      <c r="E12" s="1">
        <v>62</v>
      </c>
      <c r="F12" s="1">
        <v>47</v>
      </c>
      <c r="G12" s="1">
        <v>79</v>
      </c>
      <c r="H12" s="1">
        <f t="shared" si="0"/>
        <v>64.8</v>
      </c>
      <c r="I12" s="1">
        <v>69</v>
      </c>
      <c r="J12" s="3">
        <f t="shared" si="1"/>
        <v>66.900000000000006</v>
      </c>
      <c r="K12" s="4" t="str">
        <f t="array" ref="K12">_xlfn.IFS(J12&gt;=90,"A",J12&gt;=80,"B",J12&gt;=70,"C",J12&gt;=60,"D",J12&gt;=0,"F")</f>
        <v>D</v>
      </c>
      <c r="L12" s="3" t="str">
        <f t="shared" si="2"/>
        <v>pass</v>
      </c>
    </row>
    <row r="13" spans="1:12">
      <c r="A13" s="1">
        <v>12</v>
      </c>
      <c r="B13" s="1" t="s">
        <v>23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 s="3">
        <f t="shared" si="1"/>
        <v>59</v>
      </c>
      <c r="K13" s="4" t="str">
        <f t="array" ref="K13">_xlfn.IFS(J13&gt;=90,"A",J13&gt;=80,"B",J13&gt;=70,"C",J13&gt;=60,"D",J13&gt;=0,"F")</f>
        <v>F</v>
      </c>
      <c r="L13" s="3" t="str">
        <f t="shared" si="2"/>
        <v>fail</v>
      </c>
    </row>
    <row r="14" spans="1:12">
      <c r="A14" s="1">
        <v>13</v>
      </c>
      <c r="B14" s="1" t="s">
        <v>24</v>
      </c>
      <c r="C14" s="1">
        <v>67</v>
      </c>
      <c r="D14" s="1">
        <v>88</v>
      </c>
      <c r="E14" s="1">
        <v>71</v>
      </c>
      <c r="F14" s="1">
        <v>44</v>
      </c>
      <c r="G14" s="1">
        <v>97</v>
      </c>
      <c r="H14" s="1">
        <f t="shared" si="0"/>
        <v>73.400000000000006</v>
      </c>
      <c r="I14" s="1">
        <v>77</v>
      </c>
      <c r="J14" s="3">
        <f t="shared" si="1"/>
        <v>75.2</v>
      </c>
      <c r="K14" s="4" t="str">
        <f t="array" ref="K14">_xlfn.IFS(J14&gt;=90,"A",J14&gt;=80,"B",J14&gt;=70,"C",J14&gt;=60,"D",J14&gt;=0,"F")</f>
        <v>C</v>
      </c>
      <c r="L14" s="3" t="str">
        <f t="shared" si="2"/>
        <v>pass</v>
      </c>
    </row>
    <row r="15" spans="1:12">
      <c r="A15" s="1">
        <v>14</v>
      </c>
      <c r="B15" s="1" t="s">
        <v>25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 s="3">
        <f t="shared" si="1"/>
        <v>55.6</v>
      </c>
      <c r="K15" s="4" t="str">
        <f t="array" ref="K15">_xlfn.IFS(J15&gt;=90,"A",J15&gt;=80,"B",J15&gt;=70,"C",J15&gt;=60,"D",J15&gt;=0,"F")</f>
        <v>F</v>
      </c>
      <c r="L15" s="3" t="str">
        <f t="shared" si="2"/>
        <v>fail</v>
      </c>
    </row>
    <row r="16" spans="1:12">
      <c r="C16" s="5" t="s">
        <v>26</v>
      </c>
      <c r="D16" s="5" t="s">
        <v>27</v>
      </c>
      <c r="H16" s="5" t="s">
        <v>28</v>
      </c>
      <c r="J16" s="5" t="s">
        <v>29</v>
      </c>
      <c r="L16" s="5" t="s">
        <v>30</v>
      </c>
    </row>
    <row r="17" spans="3:13">
      <c r="C17">
        <f>LARGE(C2:C15,1)</f>
        <v>98</v>
      </c>
      <c r="D17">
        <f>LARGE(D2:D15,2)</f>
        <v>92</v>
      </c>
      <c r="H17">
        <f>COUNTIFS(H2:H15,"&lt;=80")</f>
        <v>8</v>
      </c>
      <c r="J17">
        <f>AVERAGE(J2:J15)</f>
        <v>76.871428571428581</v>
      </c>
      <c r="L17" t="s">
        <v>31</v>
      </c>
      <c r="M17">
        <v>12</v>
      </c>
    </row>
    <row r="18" spans="3:13">
      <c r="L18" t="s">
        <v>32</v>
      </c>
      <c r="M18">
        <v>2</v>
      </c>
    </row>
    <row r="24" spans="3:13">
      <c r="J24" s="5" t="s">
        <v>33</v>
      </c>
    </row>
  </sheetData>
  <sortState xmlns:xlrd2="http://schemas.microsoft.com/office/spreadsheetml/2017/richdata2" ref="A2:L16">
    <sortCondition ref="A2:A16"/>
  </sortState>
  <phoneticPr fontId="5" type="noConversion"/>
  <conditionalFormatting sqref="L2:L15">
    <cfRule type="cellIs" dxfId="1" priority="1" stopIfTrue="1" operator="equal">
      <formula>"fail"</formula>
    </cfRule>
  </conditionalFormatting>
  <conditionalFormatting sqref="L2:L15">
    <cfRule type="cellIs" dxfId="0" priority="2" stopIfTrue="1" operator="equal">
      <formula>"pass"</formula>
    </cfRule>
  </conditionalFormatting>
  <pageMargins left="0.70000000000000007" right="0.70000000000000007" top="0.75" bottom="0.75" header="0.30000000000000004" footer="0.3000000000000000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芷嫺 簡</dc:creator>
  <dc:description/>
  <cp:lastModifiedBy>User</cp:lastModifiedBy>
  <dcterms:created xsi:type="dcterms:W3CDTF">2023-10-19T05:27:10Z</dcterms:created>
  <dcterms:modified xsi:type="dcterms:W3CDTF">2025-10-08T08:17:10Z</dcterms:modified>
</cp:coreProperties>
</file>